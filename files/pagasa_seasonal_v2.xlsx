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Forecast RR (mm and PN)" sheetId="1" r:id="rId1"/>
    <sheet name="DryDay_WetDay" sheetId="2" r:id="rId2"/>
    <sheet name="Forecast T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S41"/>
  <sheetViews>
    <sheetView workbookViewId="0" rightToLeft="0"/>
  </sheetViews>
  <sheetData>
    <row r="2">
      <c r="A2" t="str">
        <v>PROVINCE</v>
      </c>
      <c r="B2" t="str">
        <v>MARCH</v>
      </c>
      <c r="E2" t="str">
        <v>APRIL</v>
      </c>
      <c r="H2" t="str">
        <v>MAY</v>
      </c>
      <c r="K2" t="str">
        <v>JUNE</v>
      </c>
      <c r="N2" t="str">
        <v>JULY</v>
      </c>
      <c r="Q2" t="str">
        <v>AUGUST</v>
      </c>
    </row>
    <row r="3">
      <c r="A3" t="str">
        <v>MIMAROPA</v>
      </c>
      <c r="B3" t="str">
        <v>MIN</v>
      </c>
      <c r="C3" t="str">
        <v>MAX</v>
      </c>
      <c r="D3" t="str">
        <v>MEAN</v>
      </c>
      <c r="E3" t="str">
        <v>MIN</v>
      </c>
      <c r="F3" t="str">
        <v>MAX</v>
      </c>
      <c r="G3" t="str">
        <v>MEAN</v>
      </c>
      <c r="H3" t="str">
        <v>MIN</v>
      </c>
      <c r="I3" t="str">
        <v>MAX</v>
      </c>
      <c r="J3" t="str">
        <v>MEAN</v>
      </c>
      <c r="K3" t="str">
        <v>MIN</v>
      </c>
      <c r="L3" t="str">
        <v>MAX</v>
      </c>
      <c r="M3" t="str">
        <v>MEAN</v>
      </c>
      <c r="N3" t="str">
        <v>MIN</v>
      </c>
      <c r="O3" t="str">
        <v>MAX</v>
      </c>
      <c r="P3" t="str">
        <v>MEAN</v>
      </c>
      <c r="Q3" t="str">
        <v>MIN</v>
      </c>
      <c r="R3" t="str">
        <v>MAX</v>
      </c>
      <c r="S3" t="str">
        <v>MEAN</v>
      </c>
    </row>
    <row r="4">
      <c r="A4" t="str">
        <v>MARINDUQUE</v>
      </c>
      <c r="B4">
        <v>78</v>
      </c>
      <c r="C4">
        <v>110.6</v>
      </c>
      <c r="D4">
        <v>93.8</v>
      </c>
      <c r="E4">
        <v>69.7</v>
      </c>
      <c r="F4">
        <v>81.4</v>
      </c>
      <c r="G4">
        <v>73.1</v>
      </c>
      <c r="H4">
        <v>206.7</v>
      </c>
      <c r="I4">
        <v>222.9</v>
      </c>
      <c r="J4">
        <v>214.8</v>
      </c>
      <c r="K4">
        <v>181</v>
      </c>
      <c r="L4">
        <v>220.1</v>
      </c>
      <c r="M4">
        <v>197.4</v>
      </c>
      <c r="N4">
        <v>262.8</v>
      </c>
      <c r="O4">
        <v>324.4</v>
      </c>
      <c r="P4">
        <v>309</v>
      </c>
      <c r="Q4">
        <v>138</v>
      </c>
      <c r="R4">
        <v>188</v>
      </c>
      <c r="S4">
        <v>156.4</v>
      </c>
    </row>
    <row r="5">
      <c r="A5" t="str">
        <v>OCCIDENTAL MINDORO</v>
      </c>
      <c r="B5">
        <v>8.5</v>
      </c>
      <c r="C5">
        <v>37.2</v>
      </c>
      <c r="D5">
        <v>22.1</v>
      </c>
      <c r="E5">
        <v>25.8</v>
      </c>
      <c r="F5">
        <v>81.1</v>
      </c>
      <c r="G5">
        <v>50</v>
      </c>
      <c r="H5">
        <v>203.4</v>
      </c>
      <c r="I5">
        <v>236.5</v>
      </c>
      <c r="J5">
        <v>222.9</v>
      </c>
      <c r="K5">
        <v>268</v>
      </c>
      <c r="L5">
        <v>442.1</v>
      </c>
      <c r="M5">
        <v>333.8</v>
      </c>
      <c r="N5">
        <v>326.5</v>
      </c>
      <c r="O5">
        <v>772.8</v>
      </c>
      <c r="P5">
        <v>465.9</v>
      </c>
      <c r="Q5">
        <v>269.8</v>
      </c>
      <c r="R5">
        <v>643.5</v>
      </c>
      <c r="S5">
        <v>409.1</v>
      </c>
    </row>
    <row r="6">
      <c r="A6" t="str">
        <v>ORIENTAL MINDORO</v>
      </c>
      <c r="B6">
        <v>22.7</v>
      </c>
      <c r="C6">
        <v>59.8</v>
      </c>
      <c r="D6">
        <v>37.3</v>
      </c>
      <c r="E6">
        <v>30.7</v>
      </c>
      <c r="F6">
        <v>93.7</v>
      </c>
      <c r="G6">
        <v>65.7</v>
      </c>
      <c r="H6">
        <v>218.9</v>
      </c>
      <c r="I6">
        <v>248.7</v>
      </c>
      <c r="J6">
        <v>233.5</v>
      </c>
      <c r="K6">
        <v>233.1</v>
      </c>
      <c r="L6">
        <v>386</v>
      </c>
      <c r="M6">
        <v>293.4</v>
      </c>
      <c r="N6">
        <v>290.7</v>
      </c>
      <c r="O6">
        <v>549.5</v>
      </c>
      <c r="P6">
        <v>402.1</v>
      </c>
      <c r="Q6">
        <v>173.6</v>
      </c>
      <c r="R6">
        <v>507.9</v>
      </c>
      <c r="S6">
        <v>317.7</v>
      </c>
    </row>
    <row r="7">
      <c r="A7" t="str">
        <v>PALAWAN</v>
      </c>
      <c r="B7">
        <v>7.3</v>
      </c>
      <c r="C7">
        <v>66.2</v>
      </c>
      <c r="D7">
        <v>40.2</v>
      </c>
      <c r="E7">
        <v>27.5</v>
      </c>
      <c r="F7">
        <v>69.1</v>
      </c>
      <c r="G7">
        <v>58.1</v>
      </c>
      <c r="H7">
        <v>173.6</v>
      </c>
      <c r="I7">
        <v>204.2</v>
      </c>
      <c r="J7">
        <v>184.6</v>
      </c>
      <c r="K7">
        <v>160</v>
      </c>
      <c r="L7">
        <v>397.8</v>
      </c>
      <c r="M7">
        <v>245.4</v>
      </c>
      <c r="N7">
        <v>156.7</v>
      </c>
      <c r="O7">
        <v>544.9</v>
      </c>
      <c r="P7">
        <v>302</v>
      </c>
      <c r="Q7">
        <v>143.8</v>
      </c>
      <c r="R7">
        <v>459.1</v>
      </c>
      <c r="S7">
        <v>256.6</v>
      </c>
    </row>
    <row r="8">
      <c r="A8" t="str">
        <v>ROMBLON</v>
      </c>
      <c r="B8">
        <v>64.2</v>
      </c>
      <c r="C8">
        <v>97.1</v>
      </c>
      <c r="D8">
        <v>88.3</v>
      </c>
      <c r="E8">
        <v>57.3</v>
      </c>
      <c r="F8">
        <v>74.5</v>
      </c>
      <c r="G8">
        <v>69.4</v>
      </c>
      <c r="H8">
        <v>215.1</v>
      </c>
      <c r="I8">
        <v>229.9</v>
      </c>
      <c r="J8">
        <v>222.8</v>
      </c>
      <c r="K8">
        <v>226.7</v>
      </c>
      <c r="L8">
        <v>318.8</v>
      </c>
      <c r="M8">
        <v>265.8</v>
      </c>
      <c r="N8">
        <v>286.7</v>
      </c>
      <c r="O8">
        <v>388.6</v>
      </c>
      <c r="P8">
        <v>336.8</v>
      </c>
      <c r="Q8">
        <v>159.5</v>
      </c>
      <c r="R8">
        <v>306.8</v>
      </c>
      <c r="S8">
        <v>232.5</v>
      </c>
    </row>
    <row r="13">
      <c r="A13" t="str">
        <v>%N Forecast Rainfall</v>
      </c>
    </row>
    <row r="14">
      <c r="A14" t="str">
        <v>PROVINCE</v>
      </c>
      <c r="B14" t="str">
        <v>MARCH</v>
      </c>
      <c r="C14" t="str">
        <v>APRIL</v>
      </c>
      <c r="D14" t="str">
        <v>MAY</v>
      </c>
      <c r="E14" t="str">
        <v>JUNE</v>
      </c>
      <c r="F14" t="str">
        <v>JULY</v>
      </c>
      <c r="G14" t="str">
        <v>AUGUST</v>
      </c>
    </row>
    <row r="15">
      <c r="A15" t="str">
        <v>MIMAROPA</v>
      </c>
    </row>
    <row r="16">
      <c r="A16" t="str">
        <v>MARINDUQUE</v>
      </c>
      <c r="B16">
        <v>90.9</v>
      </c>
      <c r="C16">
        <v>86.8</v>
      </c>
      <c r="D16">
        <v>133.3</v>
      </c>
      <c r="E16">
        <v>88.1</v>
      </c>
      <c r="F16">
        <v>106.8</v>
      </c>
      <c r="G16">
        <v>86.3</v>
      </c>
    </row>
    <row r="17">
      <c r="A17" t="str">
        <v>OCCIDENTAL MINDORO</v>
      </c>
      <c r="B17">
        <v>57.5</v>
      </c>
      <c r="C17">
        <v>83.2</v>
      </c>
      <c r="D17">
        <v>127.2</v>
      </c>
      <c r="E17">
        <v>107.1</v>
      </c>
      <c r="F17">
        <v>111.9</v>
      </c>
      <c r="G17">
        <v>104.1</v>
      </c>
    </row>
    <row r="18">
      <c r="A18" t="str">
        <v>ORIENTAL MINDORO</v>
      </c>
      <c r="B18">
        <v>62.5</v>
      </c>
      <c r="C18">
        <v>87.3</v>
      </c>
      <c r="D18">
        <v>135.3</v>
      </c>
      <c r="E18">
        <v>100.4</v>
      </c>
      <c r="F18">
        <v>109.7</v>
      </c>
      <c r="G18">
        <v>100.5</v>
      </c>
    </row>
    <row r="19">
      <c r="A19" t="str">
        <v>PALAWAN</v>
      </c>
      <c r="B19">
        <v>80</v>
      </c>
      <c r="C19">
        <v>97.8</v>
      </c>
      <c r="D19">
        <v>127.7</v>
      </c>
      <c r="E19">
        <v>105.7</v>
      </c>
      <c r="F19">
        <v>100.6</v>
      </c>
      <c r="G19">
        <v>90.1</v>
      </c>
    </row>
    <row r="20">
      <c r="A20" t="str">
        <v>ROMBLON</v>
      </c>
      <c r="B20">
        <v>105.9</v>
      </c>
      <c r="C20">
        <v>97.6</v>
      </c>
      <c r="D20">
        <v>138.7</v>
      </c>
      <c r="E20">
        <v>103.9</v>
      </c>
      <c r="F20">
        <v>104.7</v>
      </c>
      <c r="G20">
        <v>95.3</v>
      </c>
    </row>
    <row r="24">
      <c r="A24" t="str">
        <v>Normal Rainfall (1991 - 2020)</v>
      </c>
    </row>
    <row r="25">
      <c r="A25" t="str">
        <v>PROVINCE</v>
      </c>
      <c r="B25" t="str">
        <v>MARCH</v>
      </c>
      <c r="C25" t="str">
        <v>APRIL</v>
      </c>
      <c r="D25" t="str">
        <v>MAY</v>
      </c>
      <c r="E25" t="str">
        <v>JUNE</v>
      </c>
      <c r="F25" t="str">
        <v>JULY</v>
      </c>
      <c r="G25" t="str">
        <v>AUGUST</v>
      </c>
    </row>
    <row r="26">
      <c r="A26" t="str">
        <v>MIMAROPA</v>
      </c>
    </row>
    <row r="27">
      <c r="A27" t="str">
        <v>MARINDUQUE</v>
      </c>
      <c r="B27">
        <f>D4/B16*100</f>
        <v>103.19031903190319</v>
      </c>
      <c r="C27">
        <f>G4/C16*100</f>
        <v>84.21658986175115</v>
      </c>
      <c r="D27">
        <f>J4/D16*100</f>
        <v>161.1402850712678</v>
      </c>
      <c r="E27">
        <f>M4/E16*100</f>
        <v>224.06356413166856</v>
      </c>
      <c r="F27">
        <f>P4/F16*100</f>
        <v>289.32584269662925</v>
      </c>
      <c r="G27">
        <f>S4/G16*100</f>
        <v>181.22827346465817</v>
      </c>
    </row>
    <row r="28">
      <c r="A28" t="str">
        <v>OCCIDENTAL MINDORO</v>
      </c>
      <c r="B28">
        <f>D5/B17*100</f>
        <v>38.434782608695656</v>
      </c>
      <c r="C28">
        <f>G5/C17*100</f>
        <v>60.09615384615385</v>
      </c>
      <c r="D28">
        <f>J5/D17*100</f>
        <v>175.23584905660377</v>
      </c>
      <c r="E28">
        <f>M5/E17*100</f>
        <v>311.671335200747</v>
      </c>
      <c r="F28">
        <f>P5/F17*100</f>
        <v>416.35388739946376</v>
      </c>
      <c r="G28">
        <f>S5/G17*100</f>
        <v>392.987512007685</v>
      </c>
    </row>
    <row r="29">
      <c r="A29" t="str">
        <v>ORIENTAL MINDORO</v>
      </c>
      <c r="B29">
        <f>D6/B18*100</f>
        <v>59.68</v>
      </c>
      <c r="C29">
        <f>G6/C18*100</f>
        <v>75.2577319587629</v>
      </c>
      <c r="D29">
        <f>J6/D18*100</f>
        <v>172.57945306725793</v>
      </c>
      <c r="E29">
        <f>M6/E18*100</f>
        <v>292.2310756972111</v>
      </c>
      <c r="F29">
        <f>P6/F18*100</f>
        <v>366.5451230628988</v>
      </c>
      <c r="G29">
        <f>S6/G18*100</f>
        <v>316.1194029850746</v>
      </c>
    </row>
    <row r="30">
      <c r="A30" t="str">
        <v>PALAWAN</v>
      </c>
      <c r="B30">
        <f>D7/B19*100</f>
        <v>50.25000000000001</v>
      </c>
      <c r="C30">
        <f>G7/C19*100</f>
        <v>59.406952965235185</v>
      </c>
      <c r="D30">
        <f>J7/D19*100</f>
        <v>144.55755677368833</v>
      </c>
      <c r="E30">
        <f>M7/E19*100</f>
        <v>232.16650898770106</v>
      </c>
      <c r="F30">
        <f>P7/F19*100</f>
        <v>300.1988071570577</v>
      </c>
      <c r="G30">
        <f>S7/G19*100</f>
        <v>284.79467258601557</v>
      </c>
    </row>
    <row r="31">
      <c r="A31" t="str">
        <v>ROMBLON</v>
      </c>
      <c r="B31">
        <f>D8/B20*100</f>
        <v>83.38054768649668</v>
      </c>
      <c r="C31">
        <f>G8/C20*100</f>
        <v>71.1065573770492</v>
      </c>
      <c r="D31">
        <f>J8/D20*100</f>
        <v>160.63446286950253</v>
      </c>
      <c r="E31">
        <f>M8/E20*100</f>
        <v>255.82290664100097</v>
      </c>
      <c r="F31">
        <f>P8/F20*100</f>
        <v>321.68099331423116</v>
      </c>
      <c r="G31">
        <f>S8/G20*100</f>
        <v>243.9664218258132</v>
      </c>
    </row>
  </sheetData>
  <mergeCells count="8">
    <mergeCell ref="Q2:S2"/>
    <mergeCell ref="A13:G13"/>
    <mergeCell ref="A24:G24"/>
    <mergeCell ref="B2:D2"/>
    <mergeCell ref="N2:P2"/>
    <mergeCell ref="E2:G2"/>
    <mergeCell ref="H2:J2"/>
    <mergeCell ref="K2:M2"/>
  </mergeCells>
  <pageMargins left="0.7" right="0.7" top="0.75" bottom="0.75" header="0.3" footer="0.3"/>
  <ignoredErrors>
    <ignoredError numberStoredAsText="1" sqref="A2:S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 rightToLeft="0"/>
  </sheetViews>
  <sheetData>
    <row r="1">
      <c r="A1" t="str">
        <v>NORMAL (1991 - 2020)</v>
      </c>
      <c r="I1" t="str">
        <v>FORECAST</v>
      </c>
      <c r="P1" t="str">
        <v>ANOMALY</v>
      </c>
    </row>
    <row r="2">
      <c r="A2" t="str">
        <v>PROVINCE</v>
      </c>
      <c r="B2" t="str">
        <v>MAR</v>
      </c>
      <c r="C2" t="str">
        <v>APR</v>
      </c>
      <c r="D2" t="str">
        <v>MAY</v>
      </c>
      <c r="E2" t="str">
        <v>JUN</v>
      </c>
      <c r="F2" t="str">
        <v>JUL</v>
      </c>
      <c r="G2" t="str">
        <v>AUG</v>
      </c>
      <c r="I2" t="str">
        <v>MAR</v>
      </c>
      <c r="J2" t="str">
        <v>APR</v>
      </c>
      <c r="K2" t="str">
        <v>MAY</v>
      </c>
      <c r="L2" t="str">
        <v>JUN</v>
      </c>
      <c r="M2" t="str">
        <v>JUL</v>
      </c>
      <c r="N2" t="str">
        <v>AUG</v>
      </c>
      <c r="P2" t="str">
        <v>MAR</v>
      </c>
      <c r="Q2" t="str">
        <v>APR</v>
      </c>
      <c r="R2" t="str">
        <v>MAY</v>
      </c>
      <c r="S2" t="str">
        <v>JUN</v>
      </c>
      <c r="T2" t="str">
        <v>JUL</v>
      </c>
      <c r="U2" t="str">
        <v>AUG</v>
      </c>
    </row>
    <row r="3">
      <c r="A3" t="str">
        <v>REGION IV-B (MIMAROPA)</v>
      </c>
    </row>
    <row r="4">
      <c r="A4" t="str">
        <v>MARINDUQUE</v>
      </c>
      <c r="B4">
        <v>19</v>
      </c>
      <c r="C4">
        <v>19</v>
      </c>
      <c r="D4">
        <v>18</v>
      </c>
      <c r="E4">
        <v>15</v>
      </c>
      <c r="F4">
        <v>15</v>
      </c>
      <c r="G4">
        <v>17</v>
      </c>
      <c r="I4">
        <v>20</v>
      </c>
      <c r="J4">
        <v>20</v>
      </c>
      <c r="K4">
        <v>18</v>
      </c>
      <c r="L4">
        <v>16</v>
      </c>
      <c r="M4">
        <v>16</v>
      </c>
      <c r="N4">
        <v>19</v>
      </c>
      <c r="O4">
        <v>0</v>
      </c>
      <c r="P4">
        <v>1</v>
      </c>
      <c r="Q4">
        <v>1</v>
      </c>
      <c r="R4">
        <v>0</v>
      </c>
      <c r="S4">
        <v>1</v>
      </c>
      <c r="T4">
        <v>1</v>
      </c>
      <c r="U4">
        <v>2</v>
      </c>
    </row>
    <row r="5">
      <c r="A5" t="str">
        <v>OCCIDENTAL MINDORO</v>
      </c>
      <c r="B5">
        <v>17</v>
      </c>
      <c r="C5">
        <v>20</v>
      </c>
      <c r="D5">
        <v>18</v>
      </c>
      <c r="E5">
        <v>15</v>
      </c>
      <c r="F5">
        <v>16</v>
      </c>
      <c r="G5">
        <v>17</v>
      </c>
      <c r="I5">
        <v>24</v>
      </c>
      <c r="J5">
        <v>23</v>
      </c>
      <c r="K5">
        <v>19</v>
      </c>
      <c r="L5">
        <v>17</v>
      </c>
      <c r="M5">
        <v>14</v>
      </c>
      <c r="N5">
        <v>18</v>
      </c>
      <c r="O5">
        <v>0</v>
      </c>
      <c r="P5">
        <v>0</v>
      </c>
      <c r="Q5">
        <v>0</v>
      </c>
      <c r="R5">
        <v>-2</v>
      </c>
      <c r="S5">
        <v>1</v>
      </c>
      <c r="T5">
        <v>-1</v>
      </c>
      <c r="U5">
        <v>2</v>
      </c>
    </row>
    <row r="6">
      <c r="A6" t="str">
        <v>ORIENTAL MINDORO</v>
      </c>
      <c r="B6">
        <v>17</v>
      </c>
      <c r="C6">
        <v>18</v>
      </c>
      <c r="D6">
        <v>18</v>
      </c>
      <c r="E6">
        <v>15</v>
      </c>
      <c r="F6">
        <v>15</v>
      </c>
      <c r="G6">
        <v>16</v>
      </c>
      <c r="I6">
        <v>22</v>
      </c>
      <c r="J6">
        <v>22</v>
      </c>
      <c r="K6">
        <v>19</v>
      </c>
      <c r="L6">
        <v>17</v>
      </c>
      <c r="M6">
        <v>14</v>
      </c>
      <c r="N6">
        <v>19</v>
      </c>
      <c r="O6">
        <v>0</v>
      </c>
      <c r="P6">
        <v>0</v>
      </c>
      <c r="Q6">
        <v>1</v>
      </c>
      <c r="R6">
        <v>-1</v>
      </c>
      <c r="S6">
        <v>1</v>
      </c>
      <c r="T6">
        <v>-1</v>
      </c>
      <c r="U6">
        <v>2</v>
      </c>
    </row>
    <row r="7">
      <c r="A7" t="str">
        <v>PALAWAN</v>
      </c>
      <c r="B7">
        <v>25</v>
      </c>
      <c r="C7">
        <v>22</v>
      </c>
      <c r="D7">
        <v>21</v>
      </c>
      <c r="E7">
        <v>16</v>
      </c>
      <c r="F7">
        <v>17</v>
      </c>
      <c r="G7">
        <v>18</v>
      </c>
      <c r="I7">
        <v>26</v>
      </c>
      <c r="J7">
        <v>23</v>
      </c>
      <c r="K7">
        <v>19</v>
      </c>
      <c r="L7">
        <v>17</v>
      </c>
      <c r="M7">
        <v>16</v>
      </c>
      <c r="N7">
        <v>21</v>
      </c>
      <c r="O7">
        <v>0</v>
      </c>
      <c r="P7">
        <v>1</v>
      </c>
      <c r="Q7">
        <v>1</v>
      </c>
      <c r="R7">
        <v>-2</v>
      </c>
      <c r="S7">
        <v>1</v>
      </c>
      <c r="T7">
        <v>-1</v>
      </c>
      <c r="U7">
        <v>3</v>
      </c>
    </row>
    <row r="8">
      <c r="A8" t="str">
        <v>ROMBLON</v>
      </c>
      <c r="B8">
        <v>21</v>
      </c>
      <c r="C8">
        <v>21</v>
      </c>
      <c r="D8">
        <v>19</v>
      </c>
      <c r="E8">
        <v>14</v>
      </c>
      <c r="F8">
        <v>15</v>
      </c>
      <c r="G8">
        <v>17</v>
      </c>
      <c r="I8">
        <v>22</v>
      </c>
      <c r="J8">
        <v>21</v>
      </c>
      <c r="K8">
        <v>19</v>
      </c>
      <c r="L8">
        <v>16</v>
      </c>
      <c r="M8">
        <v>15</v>
      </c>
      <c r="N8">
        <v>19</v>
      </c>
      <c r="O8">
        <v>0</v>
      </c>
      <c r="P8">
        <v>1</v>
      </c>
      <c r="Q8">
        <v>0</v>
      </c>
      <c r="R8">
        <v>0</v>
      </c>
      <c r="S8">
        <v>2</v>
      </c>
      <c r="T8">
        <v>0</v>
      </c>
      <c r="U8">
        <v>2</v>
      </c>
    </row>
  </sheetData>
  <mergeCells count="3">
    <mergeCell ref="A1:G1"/>
    <mergeCell ref="I1:N1"/>
    <mergeCell ref="P1:U1"/>
  </mergeCells>
  <pageMargins left="0.7" right="0.7" top="0.75" bottom="0.75" header="0.3" footer="0.3"/>
  <ignoredErrors>
    <ignoredError numberStoredAsText="1" sqref="A1:U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 RR (mm and PN)</vt:lpstr>
      <vt:lpstr>DryDay_WetDay</vt:lpstr>
      <vt:lpstr>Forecast 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2022-10-13T03:54:24Z</dcterms:created>
  <dcterms:modified xsi:type="dcterms:W3CDTF">2026-06-29T06:01:39Z</dcterms:modified>
  <cp:lastModifiedBy>jaffeth</cp:lastModifiedBy>
  <dc:creator>User</dc:creator>
</cp:coreProperties>
</file>